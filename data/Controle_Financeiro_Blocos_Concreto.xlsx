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ão Pedro\Documents\Projetos\python\"/>
    </mc:Choice>
  </mc:AlternateContent>
  <xr:revisionPtr revIDLastSave="0" documentId="8_{5060951D-A8AB-4906-A459-5854202524F2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Produtos" sheetId="1" r:id="rId1"/>
    <sheet name="Parâmetros" sheetId="6" r:id="rId2"/>
    <sheet name="Vendas" sheetId="2" r:id="rId3"/>
    <sheet name="Fluxo de Caixa" sheetId="3" r:id="rId4"/>
    <sheet name="Orçamento" sheetId="4" r:id="rId5"/>
    <sheet name="Dashboard" sheetId="5" r:id="rId6"/>
  </sheets>
  <definedNames>
    <definedName name="Categorias">Parâmetros(Tabela1[[#All],[Categorias]])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2" l="1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H8" i="2"/>
  <c r="H9" i="2"/>
  <c r="H10" i="2"/>
  <c r="J10" i="2" s="1"/>
  <c r="K10" i="2" s="1"/>
  <c r="H11" i="2"/>
  <c r="J11" i="2" s="1"/>
  <c r="K11" i="2" s="1"/>
  <c r="H12" i="2"/>
  <c r="H13" i="2"/>
  <c r="H14" i="2"/>
  <c r="J14" i="2" s="1"/>
  <c r="K14" i="2" s="1"/>
  <c r="H15" i="2"/>
  <c r="J15" i="2" s="1"/>
  <c r="K15" i="2" s="1"/>
  <c r="H16" i="2"/>
  <c r="H17" i="2"/>
  <c r="H18" i="2"/>
  <c r="J18" i="2" s="1"/>
  <c r="K18" i="2" s="1"/>
  <c r="H19" i="2"/>
  <c r="J19" i="2" s="1"/>
  <c r="K19" i="2" s="1"/>
  <c r="H20" i="2"/>
  <c r="H21" i="2"/>
  <c r="H22" i="2"/>
  <c r="J22" i="2" s="1"/>
  <c r="K22" i="2" s="1"/>
  <c r="H23" i="2"/>
  <c r="J23" i="2" s="1"/>
  <c r="K23" i="2" s="1"/>
  <c r="H24" i="2"/>
  <c r="H25" i="2"/>
  <c r="H26" i="2"/>
  <c r="J26" i="2" s="1"/>
  <c r="K26" i="2" s="1"/>
  <c r="H27" i="2"/>
  <c r="J27" i="2" s="1"/>
  <c r="K27" i="2" s="1"/>
  <c r="H28" i="2"/>
  <c r="H29" i="2"/>
  <c r="H30" i="2"/>
  <c r="J30" i="2" s="1"/>
  <c r="K30" i="2" s="1"/>
  <c r="H31" i="2"/>
  <c r="J31" i="2" s="1"/>
  <c r="K31" i="2" s="1"/>
  <c r="H7" i="2"/>
  <c r="H6" i="2"/>
  <c r="J6" i="2" s="1"/>
  <c r="K6" i="2" s="1"/>
  <c r="H5" i="2"/>
  <c r="G9" i="2"/>
  <c r="I9" i="2" s="1"/>
  <c r="K12" i="2"/>
  <c r="K16" i="2"/>
  <c r="K20" i="2"/>
  <c r="K24" i="2"/>
  <c r="K28" i="2"/>
  <c r="J8" i="2"/>
  <c r="K8" i="2" s="1"/>
  <c r="J12" i="2"/>
  <c r="J13" i="2"/>
  <c r="K13" i="2" s="1"/>
  <c r="J16" i="2"/>
  <c r="J17" i="2"/>
  <c r="K17" i="2" s="1"/>
  <c r="J20" i="2"/>
  <c r="J21" i="2"/>
  <c r="K21" i="2" s="1"/>
  <c r="J24" i="2"/>
  <c r="J25" i="2"/>
  <c r="K25" i="2" s="1"/>
  <c r="J28" i="2"/>
  <c r="J29" i="2"/>
  <c r="K29" i="2" s="1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J5" i="2" l="1"/>
  <c r="K5" i="2" s="1"/>
  <c r="J7" i="2"/>
  <c r="K7" i="2" s="1"/>
  <c r="J9" i="2"/>
  <c r="K9" i="2" s="1"/>
</calcChain>
</file>

<file path=xl/sharedStrings.xml><?xml version="1.0" encoding="utf-8"?>
<sst xmlns="http://schemas.openxmlformats.org/spreadsheetml/2006/main" count="143" uniqueCount="67">
  <si>
    <t>ID_Produto</t>
  </si>
  <si>
    <t>Nome_Produto</t>
  </si>
  <si>
    <t>Custo_Unitário</t>
  </si>
  <si>
    <t>Preço_Venda_Padrão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</si>
  <si>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</si>
  <si>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</si>
  <si>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</si>
  <si>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</si>
  <si>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</si>
  <si>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</si>
  <si>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</si>
  <si>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</si>
  <si>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</si>
  <si>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</si>
  <si>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</si>
  <si>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</si>
  <si>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</si>
  <si>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Bloco estrutural 14x19x39</t>
  </si>
  <si>
    <t>Bloco estrutural 19x19x39</t>
  </si>
  <si>
    <t>Bloco vedação 9x19x39</t>
  </si>
  <si>
    <t>Canaleta de concreto 14x19x39</t>
  </si>
  <si>
    <t>Meio bloco estrutural</t>
  </si>
  <si>
    <t>Bloco de amarração</t>
  </si>
  <si>
    <t>Bloco de canto</t>
  </si>
  <si>
    <t>Paver (bloco intertravado)</t>
  </si>
  <si>
    <t>Piso sextavado de concreto</t>
  </si>
  <si>
    <t>Meio fio de concreto</t>
  </si>
  <si>
    <t>Lajota de concreto para calçada</t>
  </si>
  <si>
    <t>Bloco vazado decorativo (cobogó)</t>
  </si>
  <si>
    <t>Argamassa para assentamento</t>
  </si>
  <si>
    <t>Estrutural</t>
  </si>
  <si>
    <t>Vedação</t>
  </si>
  <si>
    <t>Pavimentação</t>
  </si>
  <si>
    <t>Decorativo</t>
  </si>
  <si>
    <t>Insumo</t>
  </si>
  <si>
    <t>Categorias</t>
  </si>
  <si>
    <t>ID_Venda</t>
  </si>
  <si>
    <t>Data</t>
  </si>
  <si>
    <t>Cliente</t>
  </si>
  <si>
    <t>Quantidade</t>
  </si>
  <si>
    <t>Preço_Venda</t>
  </si>
  <si>
    <t>Receita</t>
  </si>
  <si>
    <t>Custo_Total</t>
  </si>
  <si>
    <t>Lucro</t>
  </si>
  <si>
    <t>Margem</t>
  </si>
  <si>
    <t>Situação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</si>
  <si>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</si>
  <si>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</si>
  <si>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</si>
  <si>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</si>
  <si>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</si>
  <si>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</si>
  <si>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</si>
  <si>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</si>
  <si>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</si>
  <si>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</si>
  <si>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</si>
  <si>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</si>
  <si>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</si>
  <si>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</si>
  <si>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Construtora Alfa</t>
  </si>
  <si>
    <t>Obra Silva</t>
  </si>
  <si>
    <t>Engenharia Forte</t>
  </si>
  <si>
    <t>Reformas Souza</t>
  </si>
  <si>
    <t>Obra Costa</t>
  </si>
  <si>
    <t>Construtora Horizonte</t>
  </si>
  <si>
    <t>Cliente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</si>
</sst>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AF70B-DAB8-4951-BB15-6EB7D0A5BAD7}" name="Tabela3" displayName="Tabela3" ref="B4:F17" totalsRowShown="0" headerRowDxfId="24" dataDxfId="22" headerRowBorderDxfId="23" tableBorderDxfId="21">
  <autoFilter ref="B4:F17" xr:uid="{409AF70B-DAB8-4951-BB15-6EB7D0A5BAD7}"/>
  <tableColumns count="5">
    <tableColumn id="1" xr3:uid="{0A88736F-B344-4401-A350-E3664CCA2B56}" name="ID_Produto" dataDxfId="20"/>
    <tableColumn id="2" xr3:uid="{55B853C6-C0AB-4EC6-B51E-938B6A479874}" name="Nome_Produto" dataDxfId="19"/>
    <tableColumn id="3" xr3:uid="{A45DE52E-3D99-4767-86B0-0041C739AD98}" name="Custo_Unitário" dataDxfId="18"/>
    <tableColumn id="4" xr3:uid="{C289D0E4-F633-4B2D-8CA0-ACEBED1E9366}" name="Preço_Venda_Padrão" dataDxfId="17"/>
    <tableColumn id="5" xr3:uid="{999A4836-8EC8-40A9-BE26-AB7E0934A498}" name="Categoria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D60E2-C713-4A4B-B3A3-8FB9AA35E092}" name="Tabela1" displayName="Tabela1" ref="A1:A6" totalsRowShown="0" dataDxfId="15">
  <autoFilter ref="A1:A6" xr:uid="{58AD60E2-C713-4A4B-B3A3-8FB9AA35E092}"/>
  <tableColumns count="1">
    <tableColumn id="1" xr3:uid="{1034B672-9FF5-4499-B5D6-4CFF37AB15CF}" name="Categoria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61B52-3E02-41BE-9C7A-1CDFAE17F968}" name="Tabela2" displayName="Tabela2" ref="B4:M31" totalsRowShown="0" headerRowDxfId="13" dataDxfId="12">
  <autoFilter ref="B4:M31" xr:uid="{C6561B52-3E02-41BE-9C7A-1CDFAE17F968}"/>
  <tableColumns count="12">
    <tableColumn id="1" xr3:uid="{3EE56B6D-1B83-4478-9EAD-E4CF50C31820}" name="ID_Venda" dataDxfId="11"/>
    <tableColumn id="2" xr3:uid="{2C664B37-3E84-4CFB-B3E0-C01358AE8E01}" name="Data" dataDxfId="10"/>
    <tableColumn id="3" xr3:uid="{33E5C6DD-8C73-46E0-8550-DE76909B9909}" name="Cliente" dataDxfId="9"/>
    <tableColumn id="4" xr3:uid="{50658F4D-F76B-41D1-ABA9-3E283AC801A3}" name="ID_Produto" dataDxfId="8"/>
    <tableColumn id="5" xr3:uid="{6C5B60CC-0E08-4F53-B310-B51E1C871B70}" name="Quantidade" dataDxfId="7"/>
    <tableColumn id="6" xr3:uid="{63E6881B-6FF9-4C05-959C-79F4DEA30E8D}" name="Preço_Venda" dataDxfId="6">
      <calculatedColumnFormula>_xlfn.XLOOKUP(Tabela2[[#This Row],[ID_Produto]],Tabela3[ID_Produto],Tabela3[Preço_Venda_Padrão])</calculatedColumnFormula>
    </tableColumn>
    <tableColumn id="7" xr3:uid="{79B5743A-3361-4D6F-BACA-AD9FB84C8203}" name="Custo_Unitário" dataDxfId="5">
      <calculatedColumnFormula>_xlfn.XLOOKUP(E3,Tabela3[ID_Produto],Tabela3[Custo_Unitário])</calculatedColumnFormula>
    </tableColumn>
    <tableColumn id="8" xr3:uid="{843C5CDA-5A16-46C4-AF84-911D68CEBC55}" name="Receita" dataDxfId="4">
      <calculatedColumnFormula>(Tabela2[[#This Row],[Quantidade]]*Tabela2[[#This Row],[Preço_Venda]])</calculatedColumnFormula>
    </tableColumn>
    <tableColumn id="9" xr3:uid="{AD487508-13C0-4B56-A0CB-41ADC8DDE6BD}" name="Custo_Total" dataDxfId="3">
      <calculatedColumnFormula>(Tabela2[[#This Row],[Custo_Unitário]]*Tabela2[[#This Row],[Quantidade]])</calculatedColumnFormula>
    </tableColumn>
    <tableColumn id="10" xr3:uid="{1B7A0ABE-5BDB-43BB-B6FC-7C19CC257715}" name="Lucro" dataDxfId="2">
      <calculatedColumnFormula>(Tabela2[[#This Row],[Receita]]-Tabela2[[#This Row],[Custo_Total]])</calculatedColumnFormula>
    </tableColumn>
    <tableColumn id="11" xr3:uid="{484069D8-BF5D-4B5A-B122-EBFB0F7F7D77}" name="Margem" dataDxfId="1">
      <calculatedColumnFormula>(Tabela2[[#This Row],[Lucro]]/Tabela2[[#This Row],[Receita]])</calculatedColumnFormula>
    </tableColumn>
    <tableColumn id="12" xr3:uid="{91FE7893-8811-4B8E-99D6-484E6B99B029}" name="Situação" dataDxfId="0">
      <calculatedColumnFormula>IF(Tabela2[[#This Row],[Margem]]&lt;0.15,"Margem baixa","OK")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9"/>
  <sheetViews>
    <sheetView tabSelected="1" workbookViewId="0">
      <selection activeCell="E19" sqref="E19"/>
    </sheetView>
  </sheetViews>
  <sheetFormatPr defaultRowHeight="14.4" x14ac:dyDescent="0.3"/>
  <cols>
    <col min="2" max="2" width="12.5546875" customWidth="1"/>
    <col min="3" max="3" width="29.21875" bestFit="1" customWidth="1"/>
    <col min="4" max="4" width="15.44140625" customWidth="1"/>
    <col min="5" max="5" width="21.109375" customWidth="1"/>
    <col min="6" max="6" width="13.44140625" bestFit="1" customWidth="1"/>
    <col min="7" max="7" width="18.77734375" bestFit="1" customWidth="1"/>
    <col min="8" max="8" width="8.88671875" bestFit="1" customWidth="1"/>
  </cols>
  <sheetData>
    <row r="4" spans="2:13" x14ac:dyDescent="0.3">
      <c r="B4" s="8" t="s">
        <v>0</v>
      </c>
      <c r="C4" s="8" t="s">
        <v>1</v>
      </c>
      <c r="D4" s="8" t="s">
        <v>2</v>
      </c>
      <c r="E4" s="9" t="s">
        <v>3</v>
      </c>
      <c r="F4" s="10" t="s">
        <v>35</v>
      </c>
      <c r="G4" s="1"/>
      <c r="H4" s="1"/>
      <c r="I4" s="1"/>
      <c r="J4" s="1"/>
      <c r="K4" s="1"/>
      <c r="L4" s="1"/>
      <c r="M4" s="1"/>
    </row>
    <row r="5" spans="2:13" x14ac:dyDescent="0.3">
      <c r="B5" s="2" t="s">
        <v>4</v>
      </c>
      <c r="C5" s="3" t="s">
        <v>17</v>
      </c>
      <c r="D5" s="3">
        <v>2.5</v>
      </c>
      <c r="E5" s="3">
        <v>4.2</v>
      </c>
      <c r="F5" s="7" t="s">
        <v>30</v>
      </c>
      <c r="G5" s="1"/>
      <c r="H5" s="1"/>
      <c r="I5" s="1"/>
      <c r="J5" s="1"/>
      <c r="K5" s="1"/>
      <c r="L5" s="1"/>
      <c r="M5" s="1"/>
    </row>
    <row r="6" spans="2:13" x14ac:dyDescent="0.3">
      <c r="B6" s="2" t="s">
        <v>5</v>
      </c>
      <c r="C6" s="3" t="s">
        <v>18</v>
      </c>
      <c r="D6" s="3">
        <v>3.1</v>
      </c>
      <c r="E6" s="3">
        <v>5.2</v>
      </c>
      <c r="F6" s="7" t="s">
        <v>30</v>
      </c>
      <c r="G6" s="1"/>
      <c r="H6" s="1"/>
      <c r="I6" s="1"/>
      <c r="J6" s="1"/>
      <c r="K6" s="1"/>
      <c r="L6" s="1"/>
      <c r="M6" s="1"/>
    </row>
    <row r="7" spans="2:13" x14ac:dyDescent="0.3">
      <c r="B7" s="2" t="s">
        <v>6</v>
      </c>
      <c r="C7" s="3" t="s">
        <v>19</v>
      </c>
      <c r="D7" s="3">
        <v>1.9</v>
      </c>
      <c r="E7" s="3">
        <v>3.2</v>
      </c>
      <c r="F7" s="7" t="s">
        <v>31</v>
      </c>
      <c r="G7" s="1"/>
      <c r="H7" s="1"/>
      <c r="I7" s="1"/>
      <c r="J7" s="1"/>
      <c r="K7" s="1"/>
      <c r="L7" s="1"/>
      <c r="M7" s="1"/>
    </row>
    <row r="8" spans="2:13" x14ac:dyDescent="0.3">
      <c r="B8" s="2" t="s">
        <v>7</v>
      </c>
      <c r="C8" s="3" t="s">
        <v>20</v>
      </c>
      <c r="D8" s="3">
        <v>3.4</v>
      </c>
      <c r="E8" s="3">
        <v>5.8</v>
      </c>
      <c r="F8" s="7" t="s">
        <v>30</v>
      </c>
      <c r="G8" s="1"/>
      <c r="H8" s="1"/>
      <c r="I8" s="1"/>
      <c r="J8" s="1"/>
      <c r="K8" s="1"/>
      <c r="L8" s="1"/>
      <c r="M8" s="1"/>
    </row>
    <row r="9" spans="2:13" x14ac:dyDescent="0.3">
      <c r="B9" s="2" t="s">
        <v>8</v>
      </c>
      <c r="C9" s="3" t="s">
        <v>21</v>
      </c>
      <c r="D9" s="3">
        <v>1.4</v>
      </c>
      <c r="E9" s="3">
        <v>2.5</v>
      </c>
      <c r="F9" s="7" t="s">
        <v>30</v>
      </c>
      <c r="G9" s="1"/>
      <c r="H9" s="1"/>
      <c r="I9" s="1"/>
      <c r="J9" s="1"/>
      <c r="K9" s="1"/>
      <c r="L9" s="1"/>
      <c r="M9" s="1"/>
    </row>
    <row r="10" spans="2:13" x14ac:dyDescent="0.3">
      <c r="B10" s="2" t="s">
        <v>9</v>
      </c>
      <c r="C10" s="3" t="s">
        <v>22</v>
      </c>
      <c r="D10" s="3">
        <v>2.7</v>
      </c>
      <c r="E10" s="3">
        <v>4.5999999999999996</v>
      </c>
      <c r="F10" s="7" t="s">
        <v>30</v>
      </c>
      <c r="G10" s="1"/>
      <c r="H10" s="1"/>
      <c r="I10" s="1"/>
      <c r="J10" s="1"/>
      <c r="K10" s="1"/>
      <c r="L10" s="1"/>
      <c r="M10" s="1"/>
    </row>
    <row r="11" spans="2:13" x14ac:dyDescent="0.3">
      <c r="B11" s="2" t="s">
        <v>10</v>
      </c>
      <c r="C11" s="3" t="s">
        <v>23</v>
      </c>
      <c r="D11" s="3">
        <v>2.8</v>
      </c>
      <c r="E11" s="3">
        <v>4.7</v>
      </c>
      <c r="F11" s="7" t="s">
        <v>30</v>
      </c>
      <c r="G11" s="1"/>
      <c r="H11" s="1"/>
      <c r="I11" s="1"/>
      <c r="J11" s="1"/>
      <c r="K11" s="1"/>
      <c r="L11" s="1"/>
      <c r="M11" s="1"/>
    </row>
    <row r="12" spans="2:13" x14ac:dyDescent="0.3">
      <c r="B12" s="2" t="s">
        <v>11</v>
      </c>
      <c r="C12" s="3" t="s">
        <v>24</v>
      </c>
      <c r="D12" s="3">
        <v>3.6</v>
      </c>
      <c r="E12" s="3">
        <v>6.5</v>
      </c>
      <c r="F12" s="7" t="s">
        <v>32</v>
      </c>
      <c r="G12" s="1"/>
      <c r="H12" s="1"/>
      <c r="I12" s="1"/>
      <c r="J12" s="1"/>
      <c r="K12" s="1"/>
      <c r="L12" s="1"/>
      <c r="M12" s="1"/>
    </row>
    <row r="13" spans="2:13" x14ac:dyDescent="0.3">
      <c r="B13" s="2" t="s">
        <v>12</v>
      </c>
      <c r="C13" s="3" t="s">
        <v>25</v>
      </c>
      <c r="D13" s="3">
        <v>4.2</v>
      </c>
      <c r="E13" s="3">
        <v>7.5</v>
      </c>
      <c r="F13" s="7" t="s">
        <v>32</v>
      </c>
      <c r="G13" s="1"/>
      <c r="H13" s="1"/>
      <c r="I13" s="1"/>
      <c r="J13" s="1"/>
      <c r="K13" s="1"/>
      <c r="L13" s="1"/>
      <c r="M13" s="1"/>
    </row>
    <row r="14" spans="2:13" x14ac:dyDescent="0.3">
      <c r="B14" s="2" t="s">
        <v>13</v>
      </c>
      <c r="C14" s="3" t="s">
        <v>26</v>
      </c>
      <c r="D14" s="3">
        <v>9.5</v>
      </c>
      <c r="E14" s="3">
        <v>16</v>
      </c>
      <c r="F14" s="7" t="s">
        <v>32</v>
      </c>
      <c r="G14" s="1"/>
      <c r="H14" s="1"/>
      <c r="I14" s="1"/>
      <c r="J14" s="1"/>
      <c r="K14" s="1"/>
      <c r="L14" s="1"/>
      <c r="M14" s="1"/>
    </row>
    <row r="15" spans="2:13" x14ac:dyDescent="0.3">
      <c r="B15" s="2" t="s">
        <v>14</v>
      </c>
      <c r="C15" s="3" t="s">
        <v>27</v>
      </c>
      <c r="D15" s="3">
        <v>3.8</v>
      </c>
      <c r="E15" s="3">
        <v>6.8</v>
      </c>
      <c r="F15" s="7" t="s">
        <v>32</v>
      </c>
      <c r="G15" s="1"/>
      <c r="H15" s="1"/>
      <c r="I15" s="1"/>
      <c r="J15" s="1"/>
      <c r="K15" s="1"/>
      <c r="L15" s="1"/>
      <c r="M15" s="1"/>
    </row>
    <row r="16" spans="2:13" x14ac:dyDescent="0.3">
      <c r="B16" s="2" t="s">
        <v>15</v>
      </c>
      <c r="C16" s="3" t="s">
        <v>28</v>
      </c>
      <c r="D16" s="3">
        <v>5.5</v>
      </c>
      <c r="E16" s="3">
        <v>9.5</v>
      </c>
      <c r="F16" s="7" t="s">
        <v>33</v>
      </c>
      <c r="G16" s="1"/>
      <c r="H16" s="1"/>
      <c r="I16" s="1"/>
      <c r="J16" s="1"/>
      <c r="K16" s="1"/>
      <c r="L16" s="1"/>
      <c r="M16" s="1"/>
    </row>
    <row r="17" spans="2:13" x14ac:dyDescent="0.3">
      <c r="B17" s="2" t="s">
        <v>16</v>
      </c>
      <c r="C17" s="3" t="s">
        <v>29</v>
      </c>
      <c r="D17" s="3">
        <v>18</v>
      </c>
      <c r="E17" s="3">
        <v>28</v>
      </c>
      <c r="F17" s="7" t="s">
        <v>30</v>
      </c>
      <c r="G17" s="1"/>
      <c r="H17" s="1"/>
      <c r="I17" s="1"/>
      <c r="J17" s="1"/>
      <c r="K17" s="1"/>
      <c r="L17" s="1"/>
      <c r="M17" s="1"/>
    </row>
    <row r="18" spans="2:13" x14ac:dyDescent="0.3">
      <c r="G18" s="1"/>
      <c r="H18" s="1"/>
      <c r="I18" s="1"/>
      <c r="J18" s="1"/>
      <c r="K18" s="1"/>
      <c r="L18" s="1"/>
      <c r="M18" s="1"/>
    </row>
    <row r="19" spans="2:13" x14ac:dyDescent="0.3">
      <c r="G19" s="1"/>
      <c r="H19" s="1"/>
      <c r="I19" s="1"/>
      <c r="J19" s="1"/>
      <c r="K19" s="1"/>
      <c r="L19" s="1"/>
      <c r="M19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93543E-A722-456B-9ED4-15C2005D7B8B}">
          <x14:formula1>
            <xm:f>Parâmetros!$A$2:$A$6</xm:f>
          </x14:formula1>
          <xm:sqref>F5:F17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5FBD-E074-4645-A707-39C1BCABA9DD}">
  <dimension ref="A1:A6"/>
  <sheetViews>
    <sheetView workbookViewId="0">
      <selection activeCell="A2" sqref="A2"/>
    </sheetView>
  </sheetViews>
  <sheetFormatPr defaultRowHeight="14.4" x14ac:dyDescent="0.3"/>
  <cols>
    <col min="1" max="1" width="14.21875" customWidth="1"/>
  </cols>
  <sheetData>
    <row r="1" spans="1:1" x14ac:dyDescent="0.3">
      <c r="A1" t="s">
        <v>35</v>
      </c>
    </row>
    <row r="2" spans="1:1" x14ac:dyDescent="0.3">
      <c r="A2" s="5" t="s">
        <v>30</v>
      </c>
    </row>
    <row r="3" spans="1:1" x14ac:dyDescent="0.3">
      <c r="A3" s="4" t="s">
        <v>31</v>
      </c>
    </row>
    <row r="4" spans="1:1" x14ac:dyDescent="0.3">
      <c r="A4" s="4" t="s">
        <v>32</v>
      </c>
    </row>
    <row r="5" spans="1:1" ht="28.8" x14ac:dyDescent="0.3">
      <c r="A5" s="4" t="s">
        <v>33</v>
      </c>
    </row>
    <row r="6" spans="1:1" x14ac:dyDescent="0.3">
      <c r="A6" s="4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5A9E-3664-46A1-8C94-6F9AB16FAC52}">
  <dimension ref="B4:M31"/>
  <sheetViews>
    <sheetView topLeftCell="A4" workbookViewId="0">
      <selection activeCell="N3" sqref="N3"/>
    </sheetView>
  </sheetViews>
  <sheetFormatPr defaultRowHeight="14.4" x14ac:dyDescent="0.3"/>
  <cols>
    <col min="2" max="2" width="11.109375" customWidth="1"/>
    <col min="3" max="3" width="10.5546875" bestFit="1" customWidth="1"/>
    <col min="4" max="4" width="19.44140625" bestFit="1" customWidth="1"/>
    <col min="5" max="5" width="12.5546875" customWidth="1"/>
    <col min="6" max="6" width="12.77734375" customWidth="1"/>
    <col min="7" max="7" width="14.109375" customWidth="1"/>
    <col min="8" max="8" width="15.44140625" customWidth="1"/>
    <col min="9" max="9" width="11.5546875" bestFit="1" customWidth="1"/>
    <col min="10" max="10" width="12.88671875" customWidth="1"/>
    <col min="12" max="12" width="10" customWidth="1"/>
    <col min="13" max="13" width="10.109375" customWidth="1"/>
  </cols>
  <sheetData>
    <row r="4" spans="2:13" x14ac:dyDescent="0.3">
      <c r="B4" s="3" t="s">
        <v>36</v>
      </c>
      <c r="C4" s="3" t="s">
        <v>37</v>
      </c>
      <c r="D4" s="3" t="s">
        <v>38</v>
      </c>
      <c r="E4" s="3" t="s">
        <v>0</v>
      </c>
      <c r="F4" s="3" t="s">
        <v>39</v>
      </c>
      <c r="G4" s="3" t="s">
        <v>40</v>
      </c>
      <c r="H4" s="3" t="s">
        <v>2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spans="2:13" x14ac:dyDescent="0.3">
      <c r="B5" s="2" t="s">
        <v>4</v>
      </c>
      <c r="C5" s="6">
        <v>46054</v>
      </c>
      <c r="D5" s="3" t="s">
        <v>60</v>
      </c>
      <c r="E5" s="3" t="s">
        <v>4</v>
      </c>
      <c r="F5" s="3">
        <v>1200</v>
      </c>
      <c r="G5" s="3">
        <f>_xlfn.XLOOKUP(Tabela2[[#This Row],[ID_Produto]],Tabela3[ID_Produto],Tabela3[Preço_Venda_Padrão])</f>
        <v>4.2</v>
      </c>
      <c r="H5" s="3">
        <f>_xlfn.XLOOKUP(Tabela2[[#This Row],[ID_Produto]],Tabela3[ID_Produto],Tabela3[Custo_Unitário])</f>
        <v>2.5</v>
      </c>
      <c r="I5" s="3">
        <f>(Tabela2[[#This Row],[Quantidade]]*Tabela2[[#This Row],[Preço_Venda]])</f>
        <v>5040</v>
      </c>
      <c r="J5" s="3">
        <f>(Tabela2[[#This Row],[Custo_Unitário]]*Tabela2[[#This Row],[Quantidade]])</f>
        <v>3000</v>
      </c>
      <c r="K5" s="3">
        <f>(Tabela2[[#This Row],[Receita]]-Tabela2[[#This Row],[Custo_Total]])</f>
        <v>2040</v>
      </c>
      <c r="L5" s="11">
        <f>(Tabela2[[#This Row],[Lucro]]/Tabela2[[#This Row],[Receita]])</f>
        <v>0.40476190476190477</v>
      </c>
      <c r="M5" s="3" t="str">
        <f>IF(Tabela2[[#This Row],[Margem]]&lt;0.15,"Margem baixa","OK")</f>
        <v>OK</v>
      </c>
    </row>
    <row r="6" spans="2:13" x14ac:dyDescent="0.3">
      <c r="B6" s="2" t="s">
        <v>5</v>
      </c>
      <c r="C6" s="6">
        <v>46054</v>
      </c>
      <c r="D6" s="3" t="s">
        <v>61</v>
      </c>
      <c r="E6" s="3" t="s">
        <v>6</v>
      </c>
      <c r="F6" s="3">
        <v>900</v>
      </c>
      <c r="G6" s="3">
        <f>_xlfn.XLOOKUP(Tabela2[[#This Row],[ID_Produto]],Tabela3[ID_Produto],Tabela3[Preço_Venda_Padrão])</f>
        <v>3.2</v>
      </c>
      <c r="H6" s="3">
        <f>_xlfn.XLOOKUP(Tabela2[[#This Row],[ID_Produto]],Tabela3[ID_Produto],Tabela3[Custo_Unitário])</f>
        <v>1.9</v>
      </c>
      <c r="I6" s="3">
        <f>(Tabela2[[#This Row],[Quantidade]]*Tabela2[[#This Row],[Preço_Venda]])</f>
        <v>2880</v>
      </c>
      <c r="J6" s="3">
        <f>(Tabela2[[#This Row],[Custo_Unitário]]*Tabela2[[#This Row],[Quantidade]])</f>
        <v>1710</v>
      </c>
      <c r="K6" s="3">
        <f>(Tabela2[[#This Row],[Receita]]-Tabela2[[#This Row],[Custo_Total]])</f>
        <v>1170</v>
      </c>
      <c r="L6" s="11">
        <f>(Tabela2[[#This Row],[Lucro]]/Tabela2[[#This Row],[Receita]])</f>
        <v>0.40625</v>
      </c>
      <c r="M6" s="3" t="str">
        <f>IF(Tabela2[[#This Row],[Margem]]&lt;0.15,"Margem baixa","OK")</f>
        <v>OK</v>
      </c>
    </row>
    <row r="7" spans="2:13" x14ac:dyDescent="0.3">
      <c r="B7" s="2" t="s">
        <v>6</v>
      </c>
      <c r="C7" s="6">
        <v>46055</v>
      </c>
      <c r="D7" s="3" t="s">
        <v>62</v>
      </c>
      <c r="E7" s="3" t="s">
        <v>5</v>
      </c>
      <c r="F7" s="3">
        <v>700</v>
      </c>
      <c r="G7" s="3">
        <f>_xlfn.XLOOKUP(Tabela2[[#This Row],[ID_Produto]],Tabela3[ID_Produto],Tabela3[Preço_Venda_Padrão])</f>
        <v>5.2</v>
      </c>
      <c r="H7" s="3">
        <f>_xlfn.XLOOKUP(Tabela2[[#This Row],[ID_Produto]],Tabela3[ID_Produto],Tabela3[Custo_Unitário])</f>
        <v>3.1</v>
      </c>
      <c r="I7" s="3">
        <f>(Tabela2[[#This Row],[Quantidade]]*Tabela2[[#This Row],[Preço_Venda]])</f>
        <v>3640</v>
      </c>
      <c r="J7" s="3">
        <f>(Tabela2[[#This Row],[Custo_Unitário]]*Tabela2[[#This Row],[Quantidade]])</f>
        <v>2170</v>
      </c>
      <c r="K7" s="3">
        <f>(Tabela2[[#This Row],[Receita]]-Tabela2[[#This Row],[Custo_Total]])</f>
        <v>1470</v>
      </c>
      <c r="L7" s="11">
        <f>(Tabela2[[#This Row],[Lucro]]/Tabela2[[#This Row],[Receita]])</f>
        <v>0.40384615384615385</v>
      </c>
      <c r="M7" s="3" t="str">
        <f>IF(Tabela2[[#This Row],[Margem]]&lt;0.15,"Margem baixa","OK")</f>
        <v>OK</v>
      </c>
    </row>
    <row r="8" spans="2:13" x14ac:dyDescent="0.3">
      <c r="B8" s="2" t="s">
        <v>7</v>
      </c>
      <c r="C8" s="6">
        <v>46055</v>
      </c>
      <c r="D8" s="3" t="s">
        <v>60</v>
      </c>
      <c r="E8" s="3" t="s">
        <v>11</v>
      </c>
      <c r="F8" s="3">
        <v>400</v>
      </c>
      <c r="G8" s="3">
        <f>_xlfn.XLOOKUP(Tabela2[[#This Row],[ID_Produto]],Tabela3[ID_Produto],Tabela3[Preço_Venda_Padrão])</f>
        <v>6.5</v>
      </c>
      <c r="H8" s="3">
        <f>_xlfn.XLOOKUP(Tabela2[[#This Row],[ID_Produto]],Tabela3[ID_Produto],Tabela3[Custo_Unitário])</f>
        <v>3.6</v>
      </c>
      <c r="I8" s="3">
        <f>(Tabela2[[#This Row],[Quantidade]]*Tabela2[[#This Row],[Preço_Venda]])</f>
        <v>2600</v>
      </c>
      <c r="J8" s="3">
        <f>(Tabela2[[#This Row],[Custo_Unitário]]*Tabela2[[#This Row],[Quantidade]])</f>
        <v>1440</v>
      </c>
      <c r="K8" s="3">
        <f>(Tabela2[[#This Row],[Receita]]-Tabela2[[#This Row],[Custo_Total]])</f>
        <v>1160</v>
      </c>
      <c r="L8" s="11">
        <f>(Tabela2[[#This Row],[Lucro]]/Tabela2[[#This Row],[Receita]])</f>
        <v>0.44615384615384618</v>
      </c>
      <c r="M8" s="3" t="str">
        <f>IF(Tabela2[[#This Row],[Margem]]&lt;0.15,"Margem baixa","OK")</f>
        <v>OK</v>
      </c>
    </row>
    <row r="9" spans="2:13" x14ac:dyDescent="0.3">
      <c r="B9" s="2" t="s">
        <v>8</v>
      </c>
      <c r="C9" s="6">
        <v>46056</v>
      </c>
      <c r="D9" s="3" t="s">
        <v>63</v>
      </c>
      <c r="E9" s="3" t="s">
        <v>16</v>
      </c>
      <c r="F9" s="3">
        <v>35</v>
      </c>
      <c r="G9" s="3">
        <f>_xlfn.XLOOKUP(Tabela2[[#This Row],[ID_Produto]],Tabela3[ID_Produto],Tabela3[Preço_Venda_Padrão])</f>
        <v>28</v>
      </c>
      <c r="H9" s="3">
        <f>_xlfn.XLOOKUP(Tabela2[[#This Row],[ID_Produto]],Tabela3[ID_Produto],Tabela3[Custo_Unitário])</f>
        <v>18</v>
      </c>
      <c r="I9" s="3">
        <f>(Tabela2[[#This Row],[Quantidade]]*Tabela2[[#This Row],[Preço_Venda]])</f>
        <v>980</v>
      </c>
      <c r="J9" s="3">
        <f>(Tabela2[[#This Row],[Custo_Unitário]]*Tabela2[[#This Row],[Quantidade]])</f>
        <v>630</v>
      </c>
      <c r="K9" s="3">
        <f>(Tabela2[[#This Row],[Receita]]-Tabela2[[#This Row],[Custo_Total]])</f>
        <v>350</v>
      </c>
      <c r="L9" s="11">
        <f>(Tabela2[[#This Row],[Lucro]]/Tabela2[[#This Row],[Receita]])</f>
        <v>0.35714285714285715</v>
      </c>
      <c r="M9" s="3" t="str">
        <f>IF(Tabela2[[#This Row],[Margem]]&lt;0.15,"Margem baixa","OK")</f>
        <v>OK</v>
      </c>
    </row>
    <row r="10" spans="2:13" x14ac:dyDescent="0.3">
      <c r="B10" s="2" t="s">
        <v>9</v>
      </c>
      <c r="C10" s="6">
        <v>46056</v>
      </c>
      <c r="D10" s="3" t="s">
        <v>64</v>
      </c>
      <c r="E10" s="3" t="s">
        <v>7</v>
      </c>
      <c r="F10" s="3">
        <v>600</v>
      </c>
      <c r="G10" s="3">
        <f>_xlfn.XLOOKUP(Tabela2[[#This Row],[ID_Produto]],Tabela3[ID_Produto],Tabela3[Preço_Venda_Padrão])</f>
        <v>5.8</v>
      </c>
      <c r="H10" s="3">
        <f>_xlfn.XLOOKUP(Tabela2[[#This Row],[ID_Produto]],Tabela3[ID_Produto],Tabela3[Custo_Unitário])</f>
        <v>3.4</v>
      </c>
      <c r="I10" s="3">
        <f>(Tabela2[[#This Row],[Quantidade]]*Tabela2[[#This Row],[Preço_Venda]])</f>
        <v>3480</v>
      </c>
      <c r="J10" s="3">
        <f>(Tabela2[[#This Row],[Custo_Unitário]]*Tabela2[[#This Row],[Quantidade]])</f>
        <v>2040</v>
      </c>
      <c r="K10" s="3">
        <f>(Tabela2[[#This Row],[Receita]]-Tabela2[[#This Row],[Custo_Total]])</f>
        <v>1440</v>
      </c>
      <c r="L10" s="11">
        <f>(Tabela2[[#This Row],[Lucro]]/Tabela2[[#This Row],[Receita]])</f>
        <v>0.41379310344827586</v>
      </c>
      <c r="M10" s="3" t="str">
        <f>IF(Tabela2[[#This Row],[Margem]]&lt;0.15,"Margem baixa","OK")</f>
        <v>OK</v>
      </c>
    </row>
    <row r="11" spans="2:13" x14ac:dyDescent="0.3">
      <c r="B11" s="2" t="s">
        <v>10</v>
      </c>
      <c r="C11" s="6">
        <v>46057</v>
      </c>
      <c r="D11" s="3" t="s">
        <v>65</v>
      </c>
      <c r="E11" s="3" t="s">
        <v>4</v>
      </c>
      <c r="F11" s="3">
        <v>1500</v>
      </c>
      <c r="G11" s="3">
        <f>_xlfn.XLOOKUP(Tabela2[[#This Row],[ID_Produto]],Tabela3[ID_Produto],Tabela3[Preço_Venda_Padrão])</f>
        <v>4.2</v>
      </c>
      <c r="H11" s="3">
        <f>_xlfn.XLOOKUP(Tabela2[[#This Row],[ID_Produto]],Tabela3[ID_Produto],Tabela3[Custo_Unitário])</f>
        <v>2.5</v>
      </c>
      <c r="I11" s="3">
        <f>(Tabela2[[#This Row],[Quantidade]]*Tabela2[[#This Row],[Preço_Venda]])</f>
        <v>6300</v>
      </c>
      <c r="J11" s="3">
        <f>(Tabela2[[#This Row],[Custo_Unitário]]*Tabela2[[#This Row],[Quantidade]])</f>
        <v>3750</v>
      </c>
      <c r="K11" s="3">
        <f>(Tabela2[[#This Row],[Receita]]-Tabela2[[#This Row],[Custo_Total]])</f>
        <v>2550</v>
      </c>
      <c r="L11" s="11">
        <f>(Tabela2[[#This Row],[Lucro]]/Tabela2[[#This Row],[Receita]])</f>
        <v>0.40476190476190477</v>
      </c>
      <c r="M11" s="3" t="str">
        <f>IF(Tabela2[[#This Row],[Margem]]&lt;0.15,"Margem baixa","OK")</f>
        <v>OK</v>
      </c>
    </row>
    <row r="12" spans="2:13" x14ac:dyDescent="0.3">
      <c r="B12" s="2" t="s">
        <v>11</v>
      </c>
      <c r="C12" s="6">
        <v>46057</v>
      </c>
      <c r="D12" s="3" t="s">
        <v>66</v>
      </c>
      <c r="E12" s="3" t="s">
        <v>8</v>
      </c>
      <c r="F12" s="3">
        <v>300</v>
      </c>
      <c r="G12" s="3">
        <f>_xlfn.XLOOKUP(Tabela2[[#This Row],[ID_Produto]],Tabela3[ID_Produto],Tabela3[Preço_Venda_Padrão])</f>
        <v>2.5</v>
      </c>
      <c r="H12" s="3">
        <f>_xlfn.XLOOKUP(Tabela2[[#This Row],[ID_Produto]],Tabela3[ID_Produto],Tabela3[Custo_Unitário])</f>
        <v>1.4</v>
      </c>
      <c r="I12" s="3">
        <f>(Tabela2[[#This Row],[Quantidade]]*Tabela2[[#This Row],[Preço_Venda]])</f>
        <v>750</v>
      </c>
      <c r="J12" s="3">
        <f>(Tabela2[[#This Row],[Custo_Unitário]]*Tabela2[[#This Row],[Quantidade]])</f>
        <v>420</v>
      </c>
      <c r="K12" s="3">
        <f>(Tabela2[[#This Row],[Receita]]-Tabela2[[#This Row],[Custo_Total]])</f>
        <v>330</v>
      </c>
      <c r="L12" s="11">
        <f>(Tabela2[[#This Row],[Lucro]]/Tabela2[[#This Row],[Receita]])</f>
        <v>0.44</v>
      </c>
      <c r="M12" s="3" t="str">
        <f>IF(Tabela2[[#This Row],[Margem]]&lt;0.15,"Margem baixa","OK")</f>
        <v>OK</v>
      </c>
    </row>
    <row r="13" spans="2:13" x14ac:dyDescent="0.3">
      <c r="B13" s="2" t="s">
        <v>12</v>
      </c>
      <c r="C13" s="6">
        <v>46058</v>
      </c>
      <c r="D13" s="3" t="s">
        <v>62</v>
      </c>
      <c r="E13" s="3" t="s">
        <v>13</v>
      </c>
      <c r="F13" s="3">
        <v>80</v>
      </c>
      <c r="G13" s="3">
        <f>_xlfn.XLOOKUP(Tabela2[[#This Row],[ID_Produto]],Tabela3[ID_Produto],Tabela3[Preço_Venda_Padrão])</f>
        <v>16</v>
      </c>
      <c r="H13" s="3">
        <f>_xlfn.XLOOKUP(Tabela2[[#This Row],[ID_Produto]],Tabela3[ID_Produto],Tabela3[Custo_Unitário])</f>
        <v>9.5</v>
      </c>
      <c r="I13" s="3">
        <f>(Tabela2[[#This Row],[Quantidade]]*Tabela2[[#This Row],[Preço_Venda]])</f>
        <v>1280</v>
      </c>
      <c r="J13" s="3">
        <f>(Tabela2[[#This Row],[Custo_Unitário]]*Tabela2[[#This Row],[Quantidade]])</f>
        <v>760</v>
      </c>
      <c r="K13" s="3">
        <f>(Tabela2[[#This Row],[Receita]]-Tabela2[[#This Row],[Custo_Total]])</f>
        <v>520</v>
      </c>
      <c r="L13" s="11">
        <f>(Tabela2[[#This Row],[Lucro]]/Tabela2[[#This Row],[Receita]])</f>
        <v>0.40625</v>
      </c>
      <c r="M13" s="3" t="str">
        <f>IF(Tabela2[[#This Row],[Margem]]&lt;0.15,"Margem baixa","OK")</f>
        <v>OK</v>
      </c>
    </row>
    <row r="14" spans="2:13" x14ac:dyDescent="0.3">
      <c r="B14" s="2" t="s">
        <v>13</v>
      </c>
      <c r="C14" s="6">
        <v>46058</v>
      </c>
      <c r="D14" s="3" t="s">
        <v>61</v>
      </c>
      <c r="E14" s="3" t="s">
        <v>6</v>
      </c>
      <c r="F14" s="3">
        <v>1100</v>
      </c>
      <c r="G14" s="3">
        <f>_xlfn.XLOOKUP(Tabela2[[#This Row],[ID_Produto]],Tabela3[ID_Produto],Tabela3[Preço_Venda_Padrão])</f>
        <v>3.2</v>
      </c>
      <c r="H14" s="3">
        <f>_xlfn.XLOOKUP(Tabela2[[#This Row],[ID_Produto]],Tabela3[ID_Produto],Tabela3[Custo_Unitário])</f>
        <v>1.9</v>
      </c>
      <c r="I14" s="3">
        <f>(Tabela2[[#This Row],[Quantidade]]*Tabela2[[#This Row],[Preço_Venda]])</f>
        <v>3520</v>
      </c>
      <c r="J14" s="3">
        <f>(Tabela2[[#This Row],[Custo_Unitário]]*Tabela2[[#This Row],[Quantidade]])</f>
        <v>2090</v>
      </c>
      <c r="K14" s="3">
        <f>(Tabela2[[#This Row],[Receita]]-Tabela2[[#This Row],[Custo_Total]])</f>
        <v>1430</v>
      </c>
      <c r="L14" s="11">
        <f>(Tabela2[[#This Row],[Lucro]]/Tabela2[[#This Row],[Receita]])</f>
        <v>0.40625</v>
      </c>
      <c r="M14" s="3" t="str">
        <f>IF(Tabela2[[#This Row],[Margem]]&lt;0.15,"Margem baixa","OK")</f>
        <v>OK</v>
      </c>
    </row>
    <row r="15" spans="2:13" x14ac:dyDescent="0.3">
      <c r="B15" s="2" t="s">
        <v>14</v>
      </c>
      <c r="C15" s="6">
        <v>46059</v>
      </c>
      <c r="D15" s="3" t="s">
        <v>60</v>
      </c>
      <c r="E15" s="3" t="s">
        <v>9</v>
      </c>
      <c r="F15" s="3">
        <v>500</v>
      </c>
      <c r="G15" s="3">
        <f>_xlfn.XLOOKUP(Tabela2[[#This Row],[ID_Produto]],Tabela3[ID_Produto],Tabela3[Preço_Venda_Padrão])</f>
        <v>4.5999999999999996</v>
      </c>
      <c r="H15" s="3">
        <f>_xlfn.XLOOKUP(Tabela2[[#This Row],[ID_Produto]],Tabela3[ID_Produto],Tabela3[Custo_Unitário])</f>
        <v>2.7</v>
      </c>
      <c r="I15" s="3">
        <f>(Tabela2[[#This Row],[Quantidade]]*Tabela2[[#This Row],[Preço_Venda]])</f>
        <v>2300</v>
      </c>
      <c r="J15" s="3">
        <f>(Tabela2[[#This Row],[Custo_Unitário]]*Tabela2[[#This Row],[Quantidade]])</f>
        <v>1350</v>
      </c>
      <c r="K15" s="3">
        <f>(Tabela2[[#This Row],[Receita]]-Tabela2[[#This Row],[Custo_Total]])</f>
        <v>950</v>
      </c>
      <c r="L15" s="11">
        <f>(Tabela2[[#This Row],[Lucro]]/Tabela2[[#This Row],[Receita]])</f>
        <v>0.41304347826086957</v>
      </c>
      <c r="M15" s="3" t="str">
        <f>IF(Tabela2[[#This Row],[Margem]]&lt;0.15,"Margem baixa","OK")</f>
        <v>OK</v>
      </c>
    </row>
    <row r="16" spans="2:13" x14ac:dyDescent="0.3">
      <c r="B16" s="2" t="s">
        <v>15</v>
      </c>
      <c r="C16" s="6">
        <v>46059</v>
      </c>
      <c r="D16" s="3" t="s">
        <v>63</v>
      </c>
      <c r="E16" s="3" t="s">
        <v>14</v>
      </c>
      <c r="F16" s="3">
        <v>200</v>
      </c>
      <c r="G16" s="3">
        <f>_xlfn.XLOOKUP(Tabela2[[#This Row],[ID_Produto]],Tabela3[ID_Produto],Tabela3[Preço_Venda_Padrão])</f>
        <v>6.8</v>
      </c>
      <c r="H16" s="3">
        <f>_xlfn.XLOOKUP(Tabela2[[#This Row],[ID_Produto]],Tabela3[ID_Produto],Tabela3[Custo_Unitário])</f>
        <v>3.8</v>
      </c>
      <c r="I16" s="3">
        <f>(Tabela2[[#This Row],[Quantidade]]*Tabela2[[#This Row],[Preço_Venda]])</f>
        <v>1360</v>
      </c>
      <c r="J16" s="3">
        <f>(Tabela2[[#This Row],[Custo_Unitário]]*Tabela2[[#This Row],[Quantidade]])</f>
        <v>760</v>
      </c>
      <c r="K16" s="3">
        <f>(Tabela2[[#This Row],[Receita]]-Tabela2[[#This Row],[Custo_Total]])</f>
        <v>600</v>
      </c>
      <c r="L16" s="11">
        <f>(Tabela2[[#This Row],[Lucro]]/Tabela2[[#This Row],[Receita]])</f>
        <v>0.44117647058823528</v>
      </c>
      <c r="M16" s="3" t="str">
        <f>IF(Tabela2[[#This Row],[Margem]]&lt;0.15,"Margem baixa","OK")</f>
        <v>OK</v>
      </c>
    </row>
    <row r="17" spans="2:13" x14ac:dyDescent="0.3">
      <c r="B17" s="2" t="s">
        <v>16</v>
      </c>
      <c r="C17" s="6">
        <v>46060</v>
      </c>
      <c r="D17" s="3" t="s">
        <v>64</v>
      </c>
      <c r="E17" s="3" t="s">
        <v>10</v>
      </c>
      <c r="F17" s="3">
        <v>450</v>
      </c>
      <c r="G17" s="3">
        <f>_xlfn.XLOOKUP(Tabela2[[#This Row],[ID_Produto]],Tabela3[ID_Produto],Tabela3[Preço_Venda_Padrão])</f>
        <v>4.7</v>
      </c>
      <c r="H17" s="3">
        <f>_xlfn.XLOOKUP(Tabela2[[#This Row],[ID_Produto]],Tabela3[ID_Produto],Tabela3[Custo_Unitário])</f>
        <v>2.8</v>
      </c>
      <c r="I17" s="3">
        <f>(Tabela2[[#This Row],[Quantidade]]*Tabela2[[#This Row],[Preço_Venda]])</f>
        <v>2115</v>
      </c>
      <c r="J17" s="3">
        <f>(Tabela2[[#This Row],[Custo_Unitário]]*Tabela2[[#This Row],[Quantidade]])</f>
        <v>1260</v>
      </c>
      <c r="K17" s="3">
        <f>(Tabela2[[#This Row],[Receita]]-Tabela2[[#This Row],[Custo_Total]])</f>
        <v>855</v>
      </c>
      <c r="L17" s="11">
        <f>(Tabela2[[#This Row],[Lucro]]/Tabela2[[#This Row],[Receita]])</f>
        <v>0.40425531914893614</v>
      </c>
      <c r="M17" s="3" t="str">
        <f>IF(Tabela2[[#This Row],[Margem]]&lt;0.15,"Margem baixa","OK")</f>
        <v>OK</v>
      </c>
    </row>
    <row r="18" spans="2:13" x14ac:dyDescent="0.3">
      <c r="B18" s="2" t="s">
        <v>46</v>
      </c>
      <c r="C18" s="6">
        <v>46060</v>
      </c>
      <c r="D18" s="3" t="s">
        <v>66</v>
      </c>
      <c r="E18" s="3" t="s">
        <v>15</v>
      </c>
      <c r="F18" s="3">
        <v>120</v>
      </c>
      <c r="G18" s="3">
        <f>_xlfn.XLOOKUP(Tabela2[[#This Row],[ID_Produto]],Tabela3[ID_Produto],Tabela3[Preço_Venda_Padrão])</f>
        <v>9.5</v>
      </c>
      <c r="H18" s="3">
        <f>_xlfn.XLOOKUP(Tabela2[[#This Row],[ID_Produto]],Tabela3[ID_Produto],Tabela3[Custo_Unitário])</f>
        <v>5.5</v>
      </c>
      <c r="I18" s="3">
        <f>(Tabela2[[#This Row],[Quantidade]]*Tabela2[[#This Row],[Preço_Venda]])</f>
        <v>1140</v>
      </c>
      <c r="J18" s="3">
        <f>(Tabela2[[#This Row],[Custo_Unitário]]*Tabela2[[#This Row],[Quantidade]])</f>
        <v>660</v>
      </c>
      <c r="K18" s="3">
        <f>(Tabela2[[#This Row],[Receita]]-Tabela2[[#This Row],[Custo_Total]])</f>
        <v>480</v>
      </c>
      <c r="L18" s="11">
        <f>(Tabela2[[#This Row],[Lucro]]/Tabela2[[#This Row],[Receita]])</f>
        <v>0.42105263157894735</v>
      </c>
      <c r="M18" s="3" t="str">
        <f>IF(Tabela2[[#This Row],[Margem]]&lt;0.15,"Margem baixa","OK")</f>
        <v>OK</v>
      </c>
    </row>
    <row r="19" spans="2:13" x14ac:dyDescent="0.3">
      <c r="B19" s="2" t="s">
        <v>47</v>
      </c>
      <c r="C19" s="6">
        <v>46061</v>
      </c>
      <c r="D19" s="3" t="s">
        <v>62</v>
      </c>
      <c r="E19" s="3" t="s">
        <v>5</v>
      </c>
      <c r="F19" s="3">
        <v>900</v>
      </c>
      <c r="G19" s="3">
        <f>_xlfn.XLOOKUP(Tabela2[[#This Row],[ID_Produto]],Tabela3[ID_Produto],Tabela3[Preço_Venda_Padrão])</f>
        <v>5.2</v>
      </c>
      <c r="H19" s="3">
        <f>_xlfn.XLOOKUP(Tabela2[[#This Row],[ID_Produto]],Tabela3[ID_Produto],Tabela3[Custo_Unitário])</f>
        <v>3.1</v>
      </c>
      <c r="I19" s="3">
        <f>(Tabela2[[#This Row],[Quantidade]]*Tabela2[[#This Row],[Preço_Venda]])</f>
        <v>4680</v>
      </c>
      <c r="J19" s="3">
        <f>(Tabela2[[#This Row],[Custo_Unitário]]*Tabela2[[#This Row],[Quantidade]])</f>
        <v>2790</v>
      </c>
      <c r="K19" s="3">
        <f>(Tabela2[[#This Row],[Receita]]-Tabela2[[#This Row],[Custo_Total]])</f>
        <v>1890</v>
      </c>
      <c r="L19" s="11">
        <f>(Tabela2[[#This Row],[Lucro]]/Tabela2[[#This Row],[Receita]])</f>
        <v>0.40384615384615385</v>
      </c>
      <c r="M19" s="3" t="str">
        <f>IF(Tabela2[[#This Row],[Margem]]&lt;0.15,"Margem baixa","OK")</f>
        <v>OK</v>
      </c>
    </row>
    <row r="20" spans="2:13" x14ac:dyDescent="0.3">
      <c r="B20" s="2" t="s">
        <v>48</v>
      </c>
      <c r="C20" s="6">
        <v>46061</v>
      </c>
      <c r="D20" s="3" t="s">
        <v>65</v>
      </c>
      <c r="E20" s="3" t="s">
        <v>4</v>
      </c>
      <c r="F20" s="3">
        <v>1800</v>
      </c>
      <c r="G20" s="3">
        <f>_xlfn.XLOOKUP(Tabela2[[#This Row],[ID_Produto]],Tabela3[ID_Produto],Tabela3[Preço_Venda_Padrão])</f>
        <v>4.2</v>
      </c>
      <c r="H20" s="3">
        <f>_xlfn.XLOOKUP(Tabela2[[#This Row],[ID_Produto]],Tabela3[ID_Produto],Tabela3[Custo_Unitário])</f>
        <v>2.5</v>
      </c>
      <c r="I20" s="3">
        <f>(Tabela2[[#This Row],[Quantidade]]*Tabela2[[#This Row],[Preço_Venda]])</f>
        <v>7560</v>
      </c>
      <c r="J20" s="3">
        <f>(Tabela2[[#This Row],[Custo_Unitário]]*Tabela2[[#This Row],[Quantidade]])</f>
        <v>4500</v>
      </c>
      <c r="K20" s="3">
        <f>(Tabela2[[#This Row],[Receita]]-Tabela2[[#This Row],[Custo_Total]])</f>
        <v>3060</v>
      </c>
      <c r="L20" s="11">
        <f>(Tabela2[[#This Row],[Lucro]]/Tabela2[[#This Row],[Receita]])</f>
        <v>0.40476190476190477</v>
      </c>
      <c r="M20" s="3" t="str">
        <f>IF(Tabela2[[#This Row],[Margem]]&lt;0.15,"Margem baixa","OK")</f>
        <v>OK</v>
      </c>
    </row>
    <row r="21" spans="2:13" x14ac:dyDescent="0.3">
      <c r="B21" s="2" t="s">
        <v>49</v>
      </c>
      <c r="C21" s="6">
        <v>46062</v>
      </c>
      <c r="D21" s="3" t="s">
        <v>61</v>
      </c>
      <c r="E21" s="3" t="s">
        <v>7</v>
      </c>
      <c r="F21" s="3">
        <v>650</v>
      </c>
      <c r="G21" s="3">
        <f>_xlfn.XLOOKUP(Tabela2[[#This Row],[ID_Produto]],Tabela3[ID_Produto],Tabela3[Preço_Venda_Padrão])</f>
        <v>5.8</v>
      </c>
      <c r="H21" s="3">
        <f>_xlfn.XLOOKUP(Tabela2[[#This Row],[ID_Produto]],Tabela3[ID_Produto],Tabela3[Custo_Unitário])</f>
        <v>3.4</v>
      </c>
      <c r="I21" s="3">
        <f>(Tabela2[[#This Row],[Quantidade]]*Tabela2[[#This Row],[Preço_Venda]])</f>
        <v>3770</v>
      </c>
      <c r="J21" s="3">
        <f>(Tabela2[[#This Row],[Custo_Unitário]]*Tabela2[[#This Row],[Quantidade]])</f>
        <v>2210</v>
      </c>
      <c r="K21" s="3">
        <f>(Tabela2[[#This Row],[Receita]]-Tabela2[[#This Row],[Custo_Total]])</f>
        <v>1560</v>
      </c>
      <c r="L21" s="11">
        <f>(Tabela2[[#This Row],[Lucro]]/Tabela2[[#This Row],[Receita]])</f>
        <v>0.41379310344827586</v>
      </c>
      <c r="M21" s="3" t="str">
        <f>IF(Tabela2[[#This Row],[Margem]]&lt;0.15,"Margem baixa","OK")</f>
        <v>OK</v>
      </c>
    </row>
    <row r="22" spans="2:13" x14ac:dyDescent="0.3">
      <c r="B22" s="2" t="s">
        <v>50</v>
      </c>
      <c r="C22" s="6">
        <v>46062</v>
      </c>
      <c r="D22" s="3" t="s">
        <v>63</v>
      </c>
      <c r="E22" s="3" t="s">
        <v>16</v>
      </c>
      <c r="F22" s="3">
        <v>50</v>
      </c>
      <c r="G22" s="3">
        <f>_xlfn.XLOOKUP(Tabela2[[#This Row],[ID_Produto]],Tabela3[ID_Produto],Tabela3[Preço_Venda_Padrão])</f>
        <v>28</v>
      </c>
      <c r="H22" s="3">
        <f>_xlfn.XLOOKUP(Tabela2[[#This Row],[ID_Produto]],Tabela3[ID_Produto],Tabela3[Custo_Unitário])</f>
        <v>18</v>
      </c>
      <c r="I22" s="3">
        <f>(Tabela2[[#This Row],[Quantidade]]*Tabela2[[#This Row],[Preço_Venda]])</f>
        <v>1400</v>
      </c>
      <c r="J22" s="3">
        <f>(Tabela2[[#This Row],[Custo_Unitário]]*Tabela2[[#This Row],[Quantidade]])</f>
        <v>900</v>
      </c>
      <c r="K22" s="3">
        <f>(Tabela2[[#This Row],[Receita]]-Tabela2[[#This Row],[Custo_Total]])</f>
        <v>500</v>
      </c>
      <c r="L22" s="11">
        <f>(Tabela2[[#This Row],[Lucro]]/Tabela2[[#This Row],[Receita]])</f>
        <v>0.35714285714285715</v>
      </c>
      <c r="M22" s="3" t="str">
        <f>IF(Tabela2[[#This Row],[Margem]]&lt;0.15,"Margem baixa","OK")</f>
        <v>OK</v>
      </c>
    </row>
    <row r="23" spans="2:13" x14ac:dyDescent="0.3">
      <c r="B23" s="2" t="s">
        <v>51</v>
      </c>
      <c r="C23" s="6">
        <v>46063</v>
      </c>
      <c r="D23" s="3" t="s">
        <v>60</v>
      </c>
      <c r="E23" s="3" t="s">
        <v>11</v>
      </c>
      <c r="F23" s="3">
        <v>500</v>
      </c>
      <c r="G23" s="3">
        <f>_xlfn.XLOOKUP(Tabela2[[#This Row],[ID_Produto]],Tabela3[ID_Produto],Tabela3[Preço_Venda_Padrão])</f>
        <v>6.5</v>
      </c>
      <c r="H23" s="3">
        <f>_xlfn.XLOOKUP(Tabela2[[#This Row],[ID_Produto]],Tabela3[ID_Produto],Tabela3[Custo_Unitário])</f>
        <v>3.6</v>
      </c>
      <c r="I23" s="3">
        <f>(Tabela2[[#This Row],[Quantidade]]*Tabela2[[#This Row],[Preço_Venda]])</f>
        <v>3250</v>
      </c>
      <c r="J23" s="3">
        <f>(Tabela2[[#This Row],[Custo_Unitário]]*Tabela2[[#This Row],[Quantidade]])</f>
        <v>1800</v>
      </c>
      <c r="K23" s="3">
        <f>(Tabela2[[#This Row],[Receita]]-Tabela2[[#This Row],[Custo_Total]])</f>
        <v>1450</v>
      </c>
      <c r="L23" s="11">
        <f>(Tabela2[[#This Row],[Lucro]]/Tabela2[[#This Row],[Receita]])</f>
        <v>0.44615384615384618</v>
      </c>
      <c r="M23" s="3" t="str">
        <f>IF(Tabela2[[#This Row],[Margem]]&lt;0.15,"Margem baixa","OK")</f>
        <v>OK</v>
      </c>
    </row>
    <row r="24" spans="2:13" x14ac:dyDescent="0.3">
      <c r="B24" s="2" t="s">
        <v>52</v>
      </c>
      <c r="C24" s="6">
        <v>46063</v>
      </c>
      <c r="D24" s="3" t="s">
        <v>66</v>
      </c>
      <c r="E24" s="3" t="s">
        <v>6</v>
      </c>
      <c r="F24" s="3">
        <v>400</v>
      </c>
      <c r="G24" s="3">
        <f>_xlfn.XLOOKUP(Tabela2[[#This Row],[ID_Produto]],Tabela3[ID_Produto],Tabela3[Preço_Venda_Padrão])</f>
        <v>3.2</v>
      </c>
      <c r="H24" s="3">
        <f>_xlfn.XLOOKUP(Tabela2[[#This Row],[ID_Produto]],Tabela3[ID_Produto],Tabela3[Custo_Unitário])</f>
        <v>1.9</v>
      </c>
      <c r="I24" s="3">
        <f>(Tabela2[[#This Row],[Quantidade]]*Tabela2[[#This Row],[Preço_Venda]])</f>
        <v>1280</v>
      </c>
      <c r="J24" s="3">
        <f>(Tabela2[[#This Row],[Custo_Unitário]]*Tabela2[[#This Row],[Quantidade]])</f>
        <v>760</v>
      </c>
      <c r="K24" s="3">
        <f>(Tabela2[[#This Row],[Receita]]-Tabela2[[#This Row],[Custo_Total]])</f>
        <v>520</v>
      </c>
      <c r="L24" s="11">
        <f>(Tabela2[[#This Row],[Lucro]]/Tabela2[[#This Row],[Receita]])</f>
        <v>0.40625</v>
      </c>
      <c r="M24" s="3" t="str">
        <f>IF(Tabela2[[#This Row],[Margem]]&lt;0.15,"Margem baixa","OK")</f>
        <v>OK</v>
      </c>
    </row>
    <row r="25" spans="2:13" x14ac:dyDescent="0.3">
      <c r="B25" s="2" t="s">
        <v>53</v>
      </c>
      <c r="C25" s="6">
        <v>46064</v>
      </c>
      <c r="D25" s="3" t="s">
        <v>62</v>
      </c>
      <c r="E25" s="3" t="s">
        <v>13</v>
      </c>
      <c r="F25" s="3">
        <v>60</v>
      </c>
      <c r="G25" s="3">
        <f>_xlfn.XLOOKUP(Tabela2[[#This Row],[ID_Produto]],Tabela3[ID_Produto],Tabela3[Preço_Venda_Padrão])</f>
        <v>16</v>
      </c>
      <c r="H25" s="3">
        <f>_xlfn.XLOOKUP(Tabela2[[#This Row],[ID_Produto]],Tabela3[ID_Produto],Tabela3[Custo_Unitário])</f>
        <v>9.5</v>
      </c>
      <c r="I25" s="3">
        <f>(Tabela2[[#This Row],[Quantidade]]*Tabela2[[#This Row],[Preço_Venda]])</f>
        <v>960</v>
      </c>
      <c r="J25" s="3">
        <f>(Tabela2[[#This Row],[Custo_Unitário]]*Tabela2[[#This Row],[Quantidade]])</f>
        <v>570</v>
      </c>
      <c r="K25" s="3">
        <f>(Tabela2[[#This Row],[Receita]]-Tabela2[[#This Row],[Custo_Total]])</f>
        <v>390</v>
      </c>
      <c r="L25" s="11">
        <f>(Tabela2[[#This Row],[Lucro]]/Tabela2[[#This Row],[Receita]])</f>
        <v>0.40625</v>
      </c>
      <c r="M25" s="3" t="str">
        <f>IF(Tabela2[[#This Row],[Margem]]&lt;0.15,"Margem baixa","OK")</f>
        <v>OK</v>
      </c>
    </row>
    <row r="26" spans="2:13" x14ac:dyDescent="0.3">
      <c r="B26" s="2" t="s">
        <v>54</v>
      </c>
      <c r="C26" s="6">
        <v>46064</v>
      </c>
      <c r="D26" s="3" t="s">
        <v>64</v>
      </c>
      <c r="E26" s="3" t="s">
        <v>9</v>
      </c>
      <c r="F26" s="3">
        <v>550</v>
      </c>
      <c r="G26" s="3">
        <f>_xlfn.XLOOKUP(Tabela2[[#This Row],[ID_Produto]],Tabela3[ID_Produto],Tabela3[Preço_Venda_Padrão])</f>
        <v>4.5999999999999996</v>
      </c>
      <c r="H26" s="3">
        <f>_xlfn.XLOOKUP(Tabela2[[#This Row],[ID_Produto]],Tabela3[ID_Produto],Tabela3[Custo_Unitário])</f>
        <v>2.7</v>
      </c>
      <c r="I26" s="3">
        <f>(Tabela2[[#This Row],[Quantidade]]*Tabela2[[#This Row],[Preço_Venda]])</f>
        <v>2530</v>
      </c>
      <c r="J26" s="3">
        <f>(Tabela2[[#This Row],[Custo_Unitário]]*Tabela2[[#This Row],[Quantidade]])</f>
        <v>1485</v>
      </c>
      <c r="K26" s="3">
        <f>(Tabela2[[#This Row],[Receita]]-Tabela2[[#This Row],[Custo_Total]])</f>
        <v>1045</v>
      </c>
      <c r="L26" s="11">
        <f>(Tabela2[[#This Row],[Lucro]]/Tabela2[[#This Row],[Receita]])</f>
        <v>0.41304347826086957</v>
      </c>
      <c r="M26" s="3" t="str">
        <f>IF(Tabela2[[#This Row],[Margem]]&lt;0.15,"Margem baixa","OK")</f>
        <v>OK</v>
      </c>
    </row>
    <row r="27" spans="2:13" x14ac:dyDescent="0.3">
      <c r="B27" s="2" t="s">
        <v>55</v>
      </c>
      <c r="C27" s="6">
        <v>46065</v>
      </c>
      <c r="D27" s="3" t="s">
        <v>65</v>
      </c>
      <c r="E27" s="3" t="s">
        <v>5</v>
      </c>
      <c r="F27" s="3">
        <v>1000</v>
      </c>
      <c r="G27" s="3">
        <f>_xlfn.XLOOKUP(Tabela2[[#This Row],[ID_Produto]],Tabela3[ID_Produto],Tabela3[Preço_Venda_Padrão])</f>
        <v>5.2</v>
      </c>
      <c r="H27" s="3">
        <f>_xlfn.XLOOKUP(Tabela2[[#This Row],[ID_Produto]],Tabela3[ID_Produto],Tabela3[Custo_Unitário])</f>
        <v>3.1</v>
      </c>
      <c r="I27" s="3">
        <f>(Tabela2[[#This Row],[Quantidade]]*Tabela2[[#This Row],[Preço_Venda]])</f>
        <v>5200</v>
      </c>
      <c r="J27" s="3">
        <f>(Tabela2[[#This Row],[Custo_Unitário]]*Tabela2[[#This Row],[Quantidade]])</f>
        <v>3100</v>
      </c>
      <c r="K27" s="3">
        <f>(Tabela2[[#This Row],[Receita]]-Tabela2[[#This Row],[Custo_Total]])</f>
        <v>2100</v>
      </c>
      <c r="L27" s="11">
        <f>(Tabela2[[#This Row],[Lucro]]/Tabela2[[#This Row],[Receita]])</f>
        <v>0.40384615384615385</v>
      </c>
      <c r="M27" s="3" t="str">
        <f>IF(Tabela2[[#This Row],[Margem]]&lt;0.15,"Margem baixa","OK")</f>
        <v>OK</v>
      </c>
    </row>
    <row r="28" spans="2:13" x14ac:dyDescent="0.3">
      <c r="B28" s="2" t="s">
        <v>56</v>
      </c>
      <c r="C28" s="6">
        <v>46065</v>
      </c>
      <c r="D28" s="3" t="s">
        <v>63</v>
      </c>
      <c r="E28" s="3" t="s">
        <v>14</v>
      </c>
      <c r="F28" s="3">
        <v>250</v>
      </c>
      <c r="G28" s="3">
        <f>_xlfn.XLOOKUP(Tabela2[[#This Row],[ID_Produto]],Tabela3[ID_Produto],Tabela3[Preço_Venda_Padrão])</f>
        <v>6.8</v>
      </c>
      <c r="H28" s="3">
        <f>_xlfn.XLOOKUP(Tabela2[[#This Row],[ID_Produto]],Tabela3[ID_Produto],Tabela3[Custo_Unitário])</f>
        <v>3.8</v>
      </c>
      <c r="I28" s="3">
        <f>(Tabela2[[#This Row],[Quantidade]]*Tabela2[[#This Row],[Preço_Venda]])</f>
        <v>1700</v>
      </c>
      <c r="J28" s="3">
        <f>(Tabela2[[#This Row],[Custo_Unitário]]*Tabela2[[#This Row],[Quantidade]])</f>
        <v>950</v>
      </c>
      <c r="K28" s="3">
        <f>(Tabela2[[#This Row],[Receita]]-Tabela2[[#This Row],[Custo_Total]])</f>
        <v>750</v>
      </c>
      <c r="L28" s="11">
        <f>(Tabela2[[#This Row],[Lucro]]/Tabela2[[#This Row],[Receita]])</f>
        <v>0.44117647058823528</v>
      </c>
      <c r="M28" s="3" t="str">
        <f>IF(Tabela2[[#This Row],[Margem]]&lt;0.15,"Margem baixa","OK")</f>
        <v>OK</v>
      </c>
    </row>
    <row r="29" spans="2:13" x14ac:dyDescent="0.3">
      <c r="B29" s="2" t="s">
        <v>57</v>
      </c>
      <c r="C29" s="6">
        <v>46066</v>
      </c>
      <c r="D29" s="3" t="s">
        <v>61</v>
      </c>
      <c r="E29" s="3" t="s">
        <v>8</v>
      </c>
      <c r="F29" s="3">
        <v>350</v>
      </c>
      <c r="G29" s="3">
        <f>_xlfn.XLOOKUP(Tabela2[[#This Row],[ID_Produto]],Tabela3[ID_Produto],Tabela3[Preço_Venda_Padrão])</f>
        <v>2.5</v>
      </c>
      <c r="H29" s="3">
        <f>_xlfn.XLOOKUP(Tabela2[[#This Row],[ID_Produto]],Tabela3[ID_Produto],Tabela3[Custo_Unitário])</f>
        <v>1.4</v>
      </c>
      <c r="I29" s="3">
        <f>(Tabela2[[#This Row],[Quantidade]]*Tabela2[[#This Row],[Preço_Venda]])</f>
        <v>875</v>
      </c>
      <c r="J29" s="3">
        <f>(Tabela2[[#This Row],[Custo_Unitário]]*Tabela2[[#This Row],[Quantidade]])</f>
        <v>489.99999999999994</v>
      </c>
      <c r="K29" s="3">
        <f>(Tabela2[[#This Row],[Receita]]-Tabela2[[#This Row],[Custo_Total]])</f>
        <v>385.00000000000006</v>
      </c>
      <c r="L29" s="11">
        <f>(Tabela2[[#This Row],[Lucro]]/Tabela2[[#This Row],[Receita]])</f>
        <v>0.44000000000000006</v>
      </c>
      <c r="M29" s="3" t="str">
        <f>IF(Tabela2[[#This Row],[Margem]]&lt;0.15,"Margem baixa","OK")</f>
        <v>OK</v>
      </c>
    </row>
    <row r="30" spans="2:13" x14ac:dyDescent="0.3">
      <c r="B30" s="2" t="s">
        <v>58</v>
      </c>
      <c r="C30" s="6">
        <v>46066</v>
      </c>
      <c r="D30" s="3" t="s">
        <v>60</v>
      </c>
      <c r="E30" s="3" t="s">
        <v>4</v>
      </c>
      <c r="F30" s="3">
        <v>1300</v>
      </c>
      <c r="G30" s="3">
        <f>_xlfn.XLOOKUP(Tabela2[[#This Row],[ID_Produto]],Tabela3[ID_Produto],Tabela3[Preço_Venda_Padrão])</f>
        <v>4.2</v>
      </c>
      <c r="H30" s="3">
        <f>_xlfn.XLOOKUP(Tabela2[[#This Row],[ID_Produto]],Tabela3[ID_Produto],Tabela3[Custo_Unitário])</f>
        <v>2.5</v>
      </c>
      <c r="I30" s="3">
        <f>(Tabela2[[#This Row],[Quantidade]]*Tabela2[[#This Row],[Preço_Venda]])</f>
        <v>5460</v>
      </c>
      <c r="J30" s="3">
        <f>(Tabela2[[#This Row],[Custo_Unitário]]*Tabela2[[#This Row],[Quantidade]])</f>
        <v>3250</v>
      </c>
      <c r="K30" s="3">
        <f>(Tabela2[[#This Row],[Receita]]-Tabela2[[#This Row],[Custo_Total]])</f>
        <v>2210</v>
      </c>
      <c r="L30" s="11">
        <f>(Tabela2[[#This Row],[Lucro]]/Tabela2[[#This Row],[Receita]])</f>
        <v>0.40476190476190477</v>
      </c>
      <c r="M30" s="3" t="str">
        <f>IF(Tabela2[[#This Row],[Margem]]&lt;0.15,"Margem baixa","OK")</f>
        <v>OK</v>
      </c>
    </row>
    <row r="31" spans="2:13" x14ac:dyDescent="0.3">
      <c r="B31" s="2" t="s">
        <v>59</v>
      </c>
      <c r="C31" s="6">
        <v>46067</v>
      </c>
      <c r="D31" s="3" t="s">
        <v>66</v>
      </c>
      <c r="E31" s="3" t="s">
        <v>15</v>
      </c>
      <c r="F31" s="3">
        <v>90</v>
      </c>
      <c r="G31" s="3">
        <f>_xlfn.XLOOKUP(Tabela2[[#This Row],[ID_Produto]],Tabela3[ID_Produto],Tabela3[Preço_Venda_Padrão])</f>
        <v>9.5</v>
      </c>
      <c r="H31" s="3">
        <f>_xlfn.XLOOKUP(Tabela2[[#This Row],[ID_Produto]],Tabela3[ID_Produto],Tabela3[Custo_Unitário])</f>
        <v>5.5</v>
      </c>
      <c r="I31" s="3">
        <f>(Tabela2[[#This Row],[Quantidade]]*Tabela2[[#This Row],[Preço_Venda]])</f>
        <v>855</v>
      </c>
      <c r="J31" s="3">
        <f>(Tabela2[[#This Row],[Custo_Unitário]]*Tabela2[[#This Row],[Quantidade]])</f>
        <v>495</v>
      </c>
      <c r="K31" s="3">
        <f>(Tabela2[[#This Row],[Receita]]-Tabela2[[#This Row],[Custo_Total]])</f>
        <v>360</v>
      </c>
      <c r="L31" s="11">
        <f>(Tabela2[[#This Row],[Lucro]]/Tabela2[[#This Row],[Receita]])</f>
        <v>0.42105263157894735</v>
      </c>
      <c r="M31" s="3" t="str">
        <f>IF(Tabela2[[#This Row],[Margem]]&lt;0.15,"Margem baixa","OK")</f>
        <v>OK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A6F4C6-F072-4941-ACD4-A1636FEA8294}">
          <x14:formula1>
            <xm:f>Produtos!$B$5:$B$17</xm:f>
          </x14:formula1>
          <xm:sqref>E5:E31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1608-37C2-4A3E-A064-AE4B9A484DF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F71A-3B4E-4688-97C8-0ADE94CD56C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8CBB-9325-4420-8676-02D49394429A}">
  <dimension ref="A1"/>
  <sheetViews>
    <sheetView workbookViewId="0">
      <selection activeCell="H27" sqref="H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Produtos</vt:lpstr>
      <vt:lpstr>Parâmetros</vt:lpstr>
      <vt:lpstr>Vendas</vt:lpstr>
      <vt:lpstr>Fluxo de Caixa</vt:lpstr>
      <vt:lpstr>Orçamento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Joao Oliveira 330151 - Aluno ATENEU</cp:lastModifiedBy>
  <dcterms:created xsi:type="dcterms:W3CDTF">2015-06-05T18:17:20Z</dcterms:created>
  <dcterms:modified xsi:type="dcterms:W3CDTF">2026-02-20T14:32:21Z</dcterms:modified>
</cp:coreProperties>
</file>